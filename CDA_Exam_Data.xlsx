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8005262\Downloads\"/>
    </mc:Choice>
  </mc:AlternateContent>
  <xr:revisionPtr revIDLastSave="0" documentId="13_ncr:1_{DA322F9F-C9C7-41D1-953B-232DCD41D268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Instructions" sheetId="1" r:id="rId1"/>
    <sheet name="2023" sheetId="2" r:id="rId2"/>
    <sheet name="2024" sheetId="3" r:id="rId3"/>
    <sheet name="202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4" l="1"/>
  <c r="D20" i="4"/>
  <c r="C20" i="4"/>
  <c r="B20" i="4"/>
  <c r="D19" i="4"/>
  <c r="C19" i="4"/>
  <c r="B19" i="4"/>
  <c r="D18" i="4"/>
  <c r="C18" i="4"/>
  <c r="B18" i="4"/>
  <c r="E15" i="4"/>
  <c r="E14" i="4"/>
  <c r="E13" i="4"/>
  <c r="E12" i="4"/>
  <c r="E11" i="4"/>
  <c r="E10" i="4"/>
  <c r="E9" i="4"/>
  <c r="E8" i="4"/>
  <c r="E7" i="4"/>
  <c r="E6" i="4"/>
  <c r="E20" i="4" s="1"/>
  <c r="E5" i="4"/>
  <c r="E4" i="4"/>
  <c r="E3" i="4"/>
  <c r="E23" i="3"/>
  <c r="D22" i="3"/>
  <c r="C22" i="3"/>
  <c r="B22" i="3"/>
  <c r="D21" i="3"/>
  <c r="C21" i="3"/>
  <c r="B21" i="3"/>
  <c r="D20" i="3"/>
  <c r="C20" i="3"/>
  <c r="B20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4" i="2"/>
  <c r="D23" i="2"/>
  <c r="C23" i="2"/>
  <c r="B23" i="2"/>
  <c r="D22" i="2"/>
  <c r="C22" i="2"/>
  <c r="B22" i="2"/>
  <c r="D21" i="2"/>
  <c r="C21" i="2"/>
  <c r="B21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19" i="4" l="1"/>
  <c r="E21" i="3"/>
  <c r="E22" i="2"/>
  <c r="E23" i="2"/>
  <c r="E21" i="2"/>
  <c r="E22" i="3"/>
  <c r="E18" i="4"/>
  <c r="E20" i="3"/>
</calcChain>
</file>

<file path=xl/sharedStrings.xml><?xml version="1.0" encoding="utf-8"?>
<sst xmlns="http://schemas.openxmlformats.org/spreadsheetml/2006/main" count="117" uniqueCount="57">
  <si>
    <t>CDA Exam Data — Instructions &amp; Setup</t>
  </si>
  <si>
    <t>Sheet Structure</t>
  </si>
  <si>
    <t>One sheet per year (e.g. 2022, 2023, 2024). Add new year sheets as needed.</t>
  </si>
  <si>
    <t>Column A</t>
  </si>
  <si>
    <t>Student labels: Student 1, Student 2, etc. Do not change column order.</t>
  </si>
  <si>
    <t>Column B</t>
  </si>
  <si>
    <t>General Chairside exam score (numeric, e.g. 88.5). Blue = user input cells.</t>
  </si>
  <si>
    <t>Column C</t>
  </si>
  <si>
    <t>Infection Control exam score (numeric).</t>
  </si>
  <si>
    <t>Column D</t>
  </si>
  <si>
    <t>Radiation Health &amp; Safety exam score (numeric).</t>
  </si>
  <si>
    <t>Column E</t>
  </si>
  <si>
    <t>Average of B–D — calculated automatically. Do not edit.</t>
  </si>
  <si>
    <t>Summary Section</t>
  </si>
  <si>
    <t>Auto-calculates class average, lowest score, % ≥ 80, and credential rate.</t>
  </si>
  <si>
    <t>Credential Rate</t>
  </si>
  <si>
    <t>% of students who scored ≥ 80 on ALL THREE exams (CDA pass requirement).</t>
  </si>
  <si>
    <t>Notes Field</t>
  </si>
  <si>
    <t>Use the notes field at the bottom of each sheet to document curriculum changes.</t>
  </si>
  <si>
    <t>Adding Students</t>
  </si>
  <si>
    <t>Add rows between row 3 and the summary section. Extend formulas in column E.</t>
  </si>
  <si>
    <t>Dashboard</t>
  </si>
  <si>
    <t>Upload this file to GitHub. The dashboard reads each year sheet automatically.</t>
  </si>
  <si>
    <t>Passing Threshold</t>
  </si>
  <si>
    <t>80% is the program threshold for all three exams.</t>
  </si>
  <si>
    <t>CDA Exam Results — 2022</t>
  </si>
  <si>
    <t>Student</t>
  </si>
  <si>
    <t>General Chairside</t>
  </si>
  <si>
    <t>Infection Control</t>
  </si>
  <si>
    <t>Radiation Health &amp; Safety</t>
  </si>
  <si>
    <t>Average (All 3)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</si>
  <si>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</si>
  <si>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</si>
  <si>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</si>
  <si>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</si>
  <si>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</si>
  <si>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</si>
  <si>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</si>
  <si>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</si>
  <si>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</si>
  <si>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</si>
  <si>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</si>
  <si>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</si>
  <si>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</si>
  <si>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</si>
  <si>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</si>
  <si>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</si>
  <si>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Summary Statistics</t>
  </si>
  <si>
    <t>Class Average</t>
  </si>
  <si>
    <t>Lowest Score</t>
  </si>
  <si>
    <t>% Scored ≥ 80</t>
  </si>
  <si>
    <t>Credential Rate (all 3 ≥ 80)</t>
  </si>
  <si>
    <t>—</t>
  </si>
  <si>
    <t>Curriculum Notes / Changes This Year:</t>
  </si>
  <si>
    <t>(Enter curriculum changes, interventions, or notes for this year here)</t>
  </si>
  <si>
    <t>CDA Exam Results — 2023</t>
  </si>
  <si>
    <t>CDA Exam Results —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</si>
</sst>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444444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444444"/>
      <name val="Arial"/>
      <charset val="1"/>
    </font>
    <font>
      <sz val="11"/>
      <color rgb="FF0000FF"/>
      <name val="Arial"/>
      <charset val="1"/>
    </font>
    <font>
      <b/>
      <sz val="11"/>
      <color rgb="FF003366"/>
      <name val="Arial"/>
      <charset val="1"/>
    </font>
    <font>
      <i/>
      <sz val="10"/>
      <color rgb="FF99999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1578C1"/>
        <bgColor rgb="FF008080"/>
      </patternFill>
    </fill>
    <fill>
      <patternFill patternType="solid">
        <fgColor rgb="FFE8F1FB"/>
        <bgColor rgb="FFFEF6DF"/>
      </patternFill>
    </fill>
    <fill>
      <patternFill patternType="solid">
        <fgColor rgb="FFFFFFFF"/>
        <bgColor rgb="FFFEF6DF"/>
      </patternFill>
    </fill>
    <fill>
      <patternFill patternType="solid">
        <fgColor rgb="FFFEF6D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5" borderId="2" xfId="0" applyFont="1" applyFill="1" applyBorder="1" applyAlignment="1">
      <alignment horizontal="left" vertical="top" wrapText="1"/>
    </xf>
    <xf numFmtId="0" fontId="8" fillId="6" borderId="2" xfId="0" applyFont="1" applyFill="1" applyBorder="1"/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6DF"/>
      <rgbColor rgb="FFE8F1FB"/>
      <rgbColor rgb="FF660066"/>
      <rgbColor rgb="FFFF8080"/>
      <rgbColor rgb="FF1578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selection sqref="A1:B1"/>
    </sheetView>
  </sheetViews>
  <sheetFormatPr defaultColWidth="8.7109375" defaultRowHeight="15" x14ac:dyDescent="0.25"/>
  <cols>
    <col min="1" max="1" width="28" customWidth="1"/>
    <col min="2" max="2" width="60" customWidth="1"/>
  </cols>
  <sheetData>
    <row r="1" spans="1:2" ht="31.5" customHeight="1" x14ac:dyDescent="0.25">
      <c r="A1" s="5" t="s">
        <v>0</v>
      </c>
      <c r="B1" s="5"/>
    </row>
    <row r="3" spans="1:2" ht="21.75" customHeight="1" x14ac:dyDescent="0.25">
      <c r="A3" s="6" t="s">
        <v>1</v>
      </c>
      <c r="B3" s="7" t="s">
        <v>2</v>
      </c>
    </row>
    <row r="4" spans="1:2" ht="21.75" customHeight="1" x14ac:dyDescent="0.25">
      <c r="A4" s="6" t="s">
        <v>3</v>
      </c>
      <c r="B4" s="8" t="s">
        <v>4</v>
      </c>
    </row>
    <row r="5" spans="1:2" ht="21.75" customHeight="1" x14ac:dyDescent="0.25">
      <c r="A5" s="6" t="s">
        <v>5</v>
      </c>
      <c r="B5" s="7" t="s">
        <v>6</v>
      </c>
    </row>
    <row r="6" spans="1:2" ht="21.75" customHeight="1" x14ac:dyDescent="0.25">
      <c r="A6" s="6" t="s">
        <v>7</v>
      </c>
      <c r="B6" s="8" t="s">
        <v>8</v>
      </c>
    </row>
    <row r="7" spans="1:2" ht="21.75" customHeight="1" x14ac:dyDescent="0.25">
      <c r="A7" s="6" t="s">
        <v>9</v>
      </c>
      <c r="B7" s="7" t="s">
        <v>10</v>
      </c>
    </row>
    <row r="8" spans="1:2" ht="21.75" customHeight="1" x14ac:dyDescent="0.25">
      <c r="A8" s="6" t="s">
        <v>11</v>
      </c>
      <c r="B8" s="8" t="s">
        <v>12</v>
      </c>
    </row>
    <row r="9" spans="1:2" ht="21.75" customHeight="1" x14ac:dyDescent="0.25">
      <c r="A9" s="6" t="s">
        <v>13</v>
      </c>
      <c r="B9" s="7" t="s">
        <v>14</v>
      </c>
    </row>
    <row r="10" spans="1:2" ht="21.75" customHeight="1" x14ac:dyDescent="0.25">
      <c r="A10" s="6" t="s">
        <v>15</v>
      </c>
      <c r="B10" s="8" t="s">
        <v>16</v>
      </c>
    </row>
    <row r="11" spans="1:2" ht="21.75" customHeight="1" x14ac:dyDescent="0.25">
      <c r="A11" s="6" t="s">
        <v>17</v>
      </c>
      <c r="B11" s="7" t="s">
        <v>18</v>
      </c>
    </row>
    <row r="12" spans="1:2" ht="21.75" customHeight="1" x14ac:dyDescent="0.25">
      <c r="A12" s="6" t="s">
        <v>19</v>
      </c>
      <c r="B12" s="8" t="s">
        <v>20</v>
      </c>
    </row>
    <row r="13" spans="1:2" ht="21.75" customHeight="1" x14ac:dyDescent="0.25">
      <c r="A13" s="6" t="s">
        <v>21</v>
      </c>
      <c r="B13" s="7" t="s">
        <v>22</v>
      </c>
    </row>
    <row r="14" spans="1:2" ht="21.75" customHeight="1" x14ac:dyDescent="0.25">
      <c r="A14" s="6" t="s">
        <v>23</v>
      </c>
      <c r="B14" s="8" t="s">
        <v>24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zoomScaleNormal="100" workbookViewId="0">
      <selection activeCell="J9" sqref="J9"/>
    </sheetView>
  </sheetViews>
  <sheetFormatPr defaultColWidth="8.7109375" defaultRowHeight="15" x14ac:dyDescent="0.25"/>
  <cols>
    <col min="1" max="1" width="18" customWidth="1"/>
    <col min="2" max="3" width="20" customWidth="1"/>
    <col min="4" max="4" width="26" customWidth="1"/>
    <col min="5" max="5" width="18" customWidth="1"/>
  </cols>
  <sheetData>
    <row r="1" spans="1:5" ht="27.75" customHeight="1" x14ac:dyDescent="0.25">
      <c r="A1" s="4" t="s">
        <v>25</v>
      </c>
      <c r="B1" s="4"/>
      <c r="C1" s="4"/>
      <c r="D1" s="4"/>
      <c r="E1" s="4"/>
    </row>
    <row r="2" spans="1:5" ht="21.75" customHeight="1" x14ac:dyDescent="0.25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</row>
    <row r="3" spans="1:5" ht="15" customHeight="1" x14ac:dyDescent="0.25">
      <c r="A3" s="10" t="s">
        <v>31</v>
      </c>
      <c r="B3" s="11">
        <v>94.92</v>
      </c>
      <c r="C3" s="11">
        <v>97</v>
      </c>
      <c r="D3" s="11">
        <v>95</v>
      </c>
      <c r="E3" s="12">
        <f t="shared" ref="E3:E18" si="0">IFERROR(AVERAGE(B3:D3),"")</f>
        <v>95.64</v>
      </c>
    </row>
    <row r="4" spans="1:5" ht="15" customHeight="1" x14ac:dyDescent="0.25">
      <c r="A4" s="13" t="s">
        <v>32</v>
      </c>
      <c r="B4" s="14">
        <v>89.04</v>
      </c>
      <c r="C4" s="14">
        <v>91</v>
      </c>
      <c r="D4" s="14">
        <v>90</v>
      </c>
      <c r="E4" s="15">
        <f t="shared" si="0"/>
        <v>90.013333333333335</v>
      </c>
    </row>
    <row r="5" spans="1:5" ht="15" customHeight="1" x14ac:dyDescent="0.25">
      <c r="A5" s="10" t="s">
        <v>33</v>
      </c>
      <c r="B5" s="11">
        <v>79.8</v>
      </c>
      <c r="C5" s="11">
        <v>96</v>
      </c>
      <c r="D5" s="11">
        <v>99</v>
      </c>
      <c r="E5" s="12">
        <f t="shared" si="0"/>
        <v>91.600000000000009</v>
      </c>
    </row>
    <row r="6" spans="1:5" ht="15" customHeight="1" x14ac:dyDescent="0.25">
      <c r="A6" s="13" t="s">
        <v>34</v>
      </c>
      <c r="B6" s="14">
        <v>99.12</v>
      </c>
      <c r="C6" s="14">
        <v>94</v>
      </c>
      <c r="D6" s="14">
        <v>96</v>
      </c>
      <c r="E6" s="15">
        <f t="shared" si="0"/>
        <v>96.373333333333335</v>
      </c>
    </row>
    <row r="7" spans="1:5" ht="15" customHeight="1" x14ac:dyDescent="0.25">
      <c r="A7" s="10" t="s">
        <v>35</v>
      </c>
      <c r="B7" s="11">
        <v>92.4</v>
      </c>
      <c r="C7" s="11">
        <v>97</v>
      </c>
      <c r="D7" s="11">
        <v>94</v>
      </c>
      <c r="E7" s="12">
        <f t="shared" si="0"/>
        <v>94.466666666666654</v>
      </c>
    </row>
    <row r="8" spans="1:5" ht="15" customHeight="1" x14ac:dyDescent="0.25">
      <c r="A8" s="13" t="s">
        <v>36</v>
      </c>
      <c r="B8" s="14">
        <v>90.72</v>
      </c>
      <c r="C8" s="14">
        <v>89</v>
      </c>
      <c r="D8" s="14">
        <v>93</v>
      </c>
      <c r="E8" s="15">
        <f t="shared" si="0"/>
        <v>90.90666666666668</v>
      </c>
    </row>
    <row r="9" spans="1:5" ht="15" customHeight="1" x14ac:dyDescent="0.25">
      <c r="A9" s="10" t="s">
        <v>37</v>
      </c>
      <c r="B9" s="11">
        <v>87.36</v>
      </c>
      <c r="C9" s="11">
        <v>86</v>
      </c>
      <c r="D9" s="11">
        <v>87</v>
      </c>
      <c r="E9" s="12">
        <f t="shared" si="0"/>
        <v>86.786666666666676</v>
      </c>
    </row>
    <row r="10" spans="1:5" ht="15" customHeight="1" x14ac:dyDescent="0.25">
      <c r="A10" s="13" t="s">
        <v>38</v>
      </c>
      <c r="B10" s="14">
        <v>93.24</v>
      </c>
      <c r="C10" s="14">
        <v>91</v>
      </c>
      <c r="D10" s="14">
        <v>91</v>
      </c>
      <c r="E10" s="15">
        <f t="shared" si="0"/>
        <v>91.74666666666667</v>
      </c>
    </row>
    <row r="11" spans="1:5" ht="15" customHeight="1" x14ac:dyDescent="0.25">
      <c r="A11" s="10" t="s">
        <v>39</v>
      </c>
      <c r="B11" s="11">
        <v>97.44</v>
      </c>
      <c r="C11" s="11">
        <v>92</v>
      </c>
      <c r="D11" s="11">
        <v>98</v>
      </c>
      <c r="E11" s="12">
        <f t="shared" si="0"/>
        <v>95.813333333333333</v>
      </c>
    </row>
    <row r="12" spans="1:5" ht="15" customHeight="1" x14ac:dyDescent="0.25">
      <c r="A12" s="13" t="s">
        <v>40</v>
      </c>
      <c r="B12" s="14">
        <v>94.08</v>
      </c>
      <c r="C12" s="14">
        <v>96</v>
      </c>
      <c r="D12" s="14">
        <v>76</v>
      </c>
      <c r="E12" s="15">
        <f t="shared" si="0"/>
        <v>88.693333333333328</v>
      </c>
    </row>
    <row r="13" spans="1:5" ht="15" customHeight="1" x14ac:dyDescent="0.25">
      <c r="A13" s="10" t="s">
        <v>41</v>
      </c>
      <c r="B13" s="11">
        <v>99.12</v>
      </c>
      <c r="C13" s="11">
        <v>96</v>
      </c>
      <c r="D13" s="11">
        <v>98</v>
      </c>
      <c r="E13" s="12">
        <f t="shared" si="0"/>
        <v>97.706666666666663</v>
      </c>
    </row>
    <row r="14" spans="1:5" ht="15" customHeight="1" x14ac:dyDescent="0.25">
      <c r="A14" s="13" t="s">
        <v>42</v>
      </c>
      <c r="B14" s="14">
        <v>92.4</v>
      </c>
      <c r="C14" s="14">
        <v>86</v>
      </c>
      <c r="D14" s="14">
        <v>88</v>
      </c>
      <c r="E14" s="15">
        <f t="shared" si="0"/>
        <v>88.8</v>
      </c>
    </row>
    <row r="15" spans="1:5" ht="15" customHeight="1" x14ac:dyDescent="0.25">
      <c r="A15" s="10" t="s">
        <v>43</v>
      </c>
      <c r="B15" s="11">
        <v>90.72</v>
      </c>
      <c r="C15" s="11">
        <v>87</v>
      </c>
      <c r="D15" s="11">
        <v>86</v>
      </c>
      <c r="E15" s="12">
        <f t="shared" si="0"/>
        <v>87.90666666666668</v>
      </c>
    </row>
    <row r="16" spans="1:5" ht="15" customHeight="1" x14ac:dyDescent="0.25">
      <c r="A16" s="13" t="s">
        <v>44</v>
      </c>
      <c r="B16" s="14">
        <v>89.88</v>
      </c>
      <c r="C16" s="14">
        <v>90</v>
      </c>
      <c r="D16" s="14">
        <v>97</v>
      </c>
      <c r="E16" s="15">
        <f t="shared" si="0"/>
        <v>92.293333333333337</v>
      </c>
    </row>
    <row r="17" spans="1:5" ht="15" customHeight="1" x14ac:dyDescent="0.25">
      <c r="A17" s="10" t="s">
        <v>45</v>
      </c>
      <c r="B17" s="11">
        <v>86.52</v>
      </c>
      <c r="C17" s="11">
        <v>64</v>
      </c>
      <c r="D17" s="11">
        <v>65</v>
      </c>
      <c r="E17" s="12">
        <f t="shared" si="0"/>
        <v>71.839999999999989</v>
      </c>
    </row>
    <row r="18" spans="1:5" ht="15" customHeight="1" x14ac:dyDescent="0.25">
      <c r="A18" s="13" t="s">
        <v>46</v>
      </c>
      <c r="B18" s="14">
        <v>92.4</v>
      </c>
      <c r="C18" s="14">
        <v>83</v>
      </c>
      <c r="D18" s="14">
        <v>94</v>
      </c>
      <c r="E18" s="15">
        <f t="shared" si="0"/>
        <v>89.8</v>
      </c>
    </row>
    <row r="20" spans="1:5" ht="19.5" customHeight="1" x14ac:dyDescent="0.25">
      <c r="A20" s="3" t="s">
        <v>47</v>
      </c>
      <c r="B20" s="3"/>
      <c r="C20" s="3"/>
      <c r="D20" s="3"/>
      <c r="E20" s="3"/>
    </row>
    <row r="21" spans="1:5" ht="19.5" customHeight="1" x14ac:dyDescent="0.25">
      <c r="A21" s="16" t="s">
        <v>48</v>
      </c>
      <c r="B21" s="17">
        <f>IFERROR(AVERAGE(B3:B18),"")</f>
        <v>91.822500000000019</v>
      </c>
      <c r="C21" s="17">
        <f>IFERROR(AVERAGE(C3:C18),"")</f>
        <v>89.6875</v>
      </c>
      <c r="D21" s="17">
        <f>IFERROR(AVERAGE(D3:D18),"")</f>
        <v>90.4375</v>
      </c>
      <c r="E21" s="17">
        <f>IFERROR(AVERAGE(E3:E18),"")</f>
        <v>90.649166666666659</v>
      </c>
    </row>
    <row r="22" spans="1:5" ht="19.5" customHeight="1" x14ac:dyDescent="0.25">
      <c r="A22" s="16" t="s">
        <v>49</v>
      </c>
      <c r="B22" s="17">
        <f>IFERROR(MIN(B3:B18),"")</f>
        <v>79.8</v>
      </c>
      <c r="C22" s="17">
        <f>IFERROR(MIN(C3:C18),"")</f>
        <v>64</v>
      </c>
      <c r="D22" s="17">
        <f>IFERROR(MIN(D3:D18),"")</f>
        <v>65</v>
      </c>
      <c r="E22" s="17">
        <f>IFERROR(MIN(E3:E18),"")</f>
        <v>71.839999999999989</v>
      </c>
    </row>
    <row r="23" spans="1:5" ht="19.5" customHeight="1" x14ac:dyDescent="0.25">
      <c r="A23" s="16" t="s">
        <v>50</v>
      </c>
      <c r="B23" s="18">
        <f>IFERROR(COUNTIF(B3:B18,"&gt;="&amp;80)/COUNTA(B3:B18),"")</f>
        <v>0.9375</v>
      </c>
      <c r="C23" s="18">
        <f>IFERROR(COUNTIF(C3:C18,"&gt;="&amp;80)/COUNTA(C3:C18),"")</f>
        <v>0.9375</v>
      </c>
      <c r="D23" s="18">
        <f>IFERROR(COUNTIF(D3:D18,"&gt;="&amp;80)/COUNTA(D3:D18),"")</f>
        <v>0.875</v>
      </c>
      <c r="E23" s="18">
        <f>IFERROR(COUNTIF(E3:E18,"&gt;="&amp;80)/COUNTA(E3:E18),"")</f>
        <v>0.9375</v>
      </c>
    </row>
    <row r="24" spans="1:5" ht="19.5" customHeight="1" x14ac:dyDescent="0.25">
      <c r="A24" s="16" t="s">
        <v>51</v>
      </c>
      <c r="B24" s="19" t="s">
        <v>52</v>
      </c>
      <c r="C24" s="19" t="s">
        <v>52</v>
      </c>
      <c r="D24" s="19" t="s">
        <v>52</v>
      </c>
      <c r="E24" s="18">
        <f>IFERROR(SUMPRODUCT((B3:B18&gt;= 80)*(C3:C18&gt;=80)*(D3:D18&gt;=80))/COUNTA(A3:A18),"")</f>
        <v>0.8125</v>
      </c>
    </row>
    <row r="26" spans="1:5" ht="15" customHeight="1" x14ac:dyDescent="0.25">
      <c r="A26" s="2" t="s">
        <v>53</v>
      </c>
      <c r="B26" s="2"/>
      <c r="C26" s="2"/>
      <c r="D26" s="2"/>
      <c r="E26" s="2"/>
    </row>
    <row r="27" spans="1:5" ht="39.75" customHeight="1" x14ac:dyDescent="0.25">
      <c r="A27" s="1" t="s">
        <v>54</v>
      </c>
      <c r="B27" s="1"/>
      <c r="C27" s="1"/>
      <c r="D27" s="1"/>
      <c r="E27" s="1"/>
    </row>
  </sheetData>
  <mergeCells count="4">
    <mergeCell ref="A1:E1"/>
    <mergeCell ref="A20:E20"/>
    <mergeCell ref="A26:E26"/>
    <mergeCell ref="A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Normal="100" workbookViewId="0">
      <selection activeCell="H15" sqref="H15"/>
    </sheetView>
  </sheetViews>
  <sheetFormatPr defaultColWidth="8.7109375" defaultRowHeight="15" x14ac:dyDescent="0.25"/>
  <cols>
    <col min="1" max="1" width="18" customWidth="1"/>
    <col min="2" max="3" width="20" customWidth="1"/>
    <col min="4" max="4" width="26" customWidth="1"/>
    <col min="5" max="5" width="18" customWidth="1"/>
  </cols>
  <sheetData>
    <row r="1" spans="1:5" ht="27.75" customHeight="1" x14ac:dyDescent="0.25">
      <c r="A1" s="4" t="s">
        <v>55</v>
      </c>
      <c r="B1" s="4"/>
      <c r="C1" s="4"/>
      <c r="D1" s="4"/>
      <c r="E1" s="4"/>
    </row>
    <row r="2" spans="1:5" ht="21.75" customHeight="1" x14ac:dyDescent="0.25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</row>
    <row r="3" spans="1:5" ht="15" customHeight="1" x14ac:dyDescent="0.25">
      <c r="A3" s="10" t="s">
        <v>31</v>
      </c>
      <c r="B3" s="11">
        <v>94.92</v>
      </c>
      <c r="C3" s="11">
        <v>93.33</v>
      </c>
      <c r="D3" s="11">
        <v>95</v>
      </c>
      <c r="E3" s="12">
        <f t="shared" ref="E3:E17" si="0">IFERROR(AVERAGE(B3:D3),"")</f>
        <v>94.416666666666671</v>
      </c>
    </row>
    <row r="4" spans="1:5" ht="15" customHeight="1" x14ac:dyDescent="0.25">
      <c r="A4" s="13" t="s">
        <v>32</v>
      </c>
      <c r="B4" s="14">
        <v>98.28</v>
      </c>
      <c r="C4" s="14">
        <v>100</v>
      </c>
      <c r="D4" s="14">
        <v>98</v>
      </c>
      <c r="E4" s="15">
        <f t="shared" si="0"/>
        <v>98.759999999999991</v>
      </c>
    </row>
    <row r="5" spans="1:5" ht="15" customHeight="1" x14ac:dyDescent="0.25">
      <c r="A5" s="10" t="s">
        <v>33</v>
      </c>
      <c r="B5" s="11">
        <v>82.32</v>
      </c>
      <c r="C5" s="11">
        <v>81.11</v>
      </c>
      <c r="D5" s="11">
        <v>58</v>
      </c>
      <c r="E5" s="12">
        <f t="shared" si="0"/>
        <v>73.81</v>
      </c>
    </row>
    <row r="6" spans="1:5" ht="15" customHeight="1" x14ac:dyDescent="0.25">
      <c r="A6" s="13" t="s">
        <v>34</v>
      </c>
      <c r="B6" s="14">
        <v>94.92</v>
      </c>
      <c r="C6" s="14">
        <v>96.67</v>
      </c>
      <c r="D6" s="14">
        <v>100</v>
      </c>
      <c r="E6" s="15">
        <f t="shared" si="0"/>
        <v>97.196666666666673</v>
      </c>
    </row>
    <row r="7" spans="1:5" ht="15" customHeight="1" x14ac:dyDescent="0.25">
      <c r="A7" s="10" t="s">
        <v>35</v>
      </c>
      <c r="B7" s="11">
        <v>99.12</v>
      </c>
      <c r="C7" s="11">
        <v>97.78</v>
      </c>
      <c r="D7" s="11">
        <v>92</v>
      </c>
      <c r="E7" s="12">
        <f t="shared" si="0"/>
        <v>96.3</v>
      </c>
    </row>
    <row r="8" spans="1:5" ht="15" customHeight="1" x14ac:dyDescent="0.25">
      <c r="A8" s="13" t="s">
        <v>36</v>
      </c>
      <c r="B8" s="14">
        <v>80.64</v>
      </c>
      <c r="C8" s="14">
        <v>87.78</v>
      </c>
      <c r="D8" s="14">
        <v>83</v>
      </c>
      <c r="E8" s="15">
        <f t="shared" si="0"/>
        <v>83.806666666666672</v>
      </c>
    </row>
    <row r="9" spans="1:5" ht="15" customHeight="1" x14ac:dyDescent="0.25">
      <c r="A9" s="10" t="s">
        <v>37</v>
      </c>
      <c r="B9" s="11">
        <v>99.12</v>
      </c>
      <c r="C9" s="11">
        <v>97.78</v>
      </c>
      <c r="D9" s="11">
        <v>97</v>
      </c>
      <c r="E9" s="12">
        <f t="shared" si="0"/>
        <v>97.966666666666654</v>
      </c>
    </row>
    <row r="10" spans="1:5" ht="15" customHeight="1" x14ac:dyDescent="0.25">
      <c r="A10" s="13" t="s">
        <v>38</v>
      </c>
      <c r="B10" s="14">
        <v>79.8</v>
      </c>
      <c r="C10" s="14">
        <v>90</v>
      </c>
      <c r="D10" s="14">
        <v>74</v>
      </c>
      <c r="E10" s="15">
        <f t="shared" si="0"/>
        <v>81.266666666666666</v>
      </c>
    </row>
    <row r="11" spans="1:5" ht="15" customHeight="1" x14ac:dyDescent="0.25">
      <c r="A11" s="10" t="s">
        <v>39</v>
      </c>
      <c r="B11" s="11">
        <v>100.8</v>
      </c>
      <c r="C11" s="11">
        <v>95.56</v>
      </c>
      <c r="D11" s="11">
        <v>98</v>
      </c>
      <c r="E11" s="12">
        <f t="shared" si="0"/>
        <v>98.12</v>
      </c>
    </row>
    <row r="12" spans="1:5" ht="15" customHeight="1" x14ac:dyDescent="0.25">
      <c r="A12" s="13" t="s">
        <v>40</v>
      </c>
      <c r="B12" s="14">
        <v>96.6</v>
      </c>
      <c r="C12" s="14">
        <v>95.56</v>
      </c>
      <c r="D12" s="14">
        <v>89</v>
      </c>
      <c r="E12" s="15">
        <f t="shared" si="0"/>
        <v>93.719999999999985</v>
      </c>
    </row>
    <row r="13" spans="1:5" ht="15" customHeight="1" x14ac:dyDescent="0.25">
      <c r="A13" s="10" t="s">
        <v>41</v>
      </c>
      <c r="B13" s="11">
        <v>96.6</v>
      </c>
      <c r="C13" s="11">
        <v>100</v>
      </c>
      <c r="D13" s="11">
        <v>94</v>
      </c>
      <c r="E13" s="12">
        <f t="shared" si="0"/>
        <v>96.866666666666674</v>
      </c>
    </row>
    <row r="14" spans="1:5" ht="15" customHeight="1" x14ac:dyDescent="0.25">
      <c r="A14" s="13" t="s">
        <v>42</v>
      </c>
      <c r="B14" s="14">
        <v>83.16</v>
      </c>
      <c r="C14" s="14">
        <v>73.33</v>
      </c>
      <c r="D14" s="14">
        <v>73</v>
      </c>
      <c r="E14" s="15">
        <f t="shared" si="0"/>
        <v>76.49666666666667</v>
      </c>
    </row>
    <row r="15" spans="1:5" ht="15" customHeight="1" x14ac:dyDescent="0.25">
      <c r="A15" s="10" t="s">
        <v>43</v>
      </c>
      <c r="B15" s="11">
        <v>94.92</v>
      </c>
      <c r="C15" s="11">
        <v>90</v>
      </c>
      <c r="D15" s="11">
        <v>91</v>
      </c>
      <c r="E15" s="12">
        <f t="shared" si="0"/>
        <v>91.973333333333343</v>
      </c>
    </row>
    <row r="16" spans="1:5" ht="15" customHeight="1" x14ac:dyDescent="0.25">
      <c r="A16" s="13" t="s">
        <v>44</v>
      </c>
      <c r="B16" s="14">
        <v>96.6</v>
      </c>
      <c r="C16" s="14">
        <v>98.89</v>
      </c>
      <c r="D16" s="14">
        <v>94</v>
      </c>
      <c r="E16" s="15">
        <f t="shared" si="0"/>
        <v>96.49666666666667</v>
      </c>
    </row>
    <row r="17" spans="1:5" ht="15" customHeight="1" x14ac:dyDescent="0.25">
      <c r="A17" s="10" t="s">
        <v>45</v>
      </c>
      <c r="B17" s="11">
        <v>94.08</v>
      </c>
      <c r="C17" s="11">
        <v>90</v>
      </c>
      <c r="D17" s="11">
        <v>63</v>
      </c>
      <c r="E17" s="12">
        <f t="shared" si="0"/>
        <v>82.36</v>
      </c>
    </row>
    <row r="19" spans="1:5" ht="19.5" customHeight="1" x14ac:dyDescent="0.25">
      <c r="A19" s="3" t="s">
        <v>47</v>
      </c>
      <c r="B19" s="3"/>
      <c r="C19" s="3"/>
      <c r="D19" s="3"/>
      <c r="E19" s="3"/>
    </row>
    <row r="20" spans="1:5" ht="19.5" customHeight="1" x14ac:dyDescent="0.25">
      <c r="A20" s="16" t="s">
        <v>48</v>
      </c>
      <c r="B20" s="17">
        <f>IFERROR(AVERAGE(B3:B17),"")</f>
        <v>92.791999999999987</v>
      </c>
      <c r="C20" s="17">
        <f>IFERROR(AVERAGE(C3:C17),"")</f>
        <v>92.519333333333336</v>
      </c>
      <c r="D20" s="17">
        <f>IFERROR(AVERAGE(D3:D17),"")</f>
        <v>86.6</v>
      </c>
      <c r="E20" s="17">
        <f>IFERROR(AVERAGE(E3:E17),"")</f>
        <v>90.637111111111111</v>
      </c>
    </row>
    <row r="21" spans="1:5" ht="19.5" customHeight="1" x14ac:dyDescent="0.25">
      <c r="A21" s="16" t="s">
        <v>49</v>
      </c>
      <c r="B21" s="17">
        <f>IFERROR(MIN(B3:B17),"")</f>
        <v>79.8</v>
      </c>
      <c r="C21" s="17">
        <f>IFERROR(MIN(C3:C17),"")</f>
        <v>73.33</v>
      </c>
      <c r="D21" s="17">
        <f>IFERROR(MIN(D3:D17),"")</f>
        <v>58</v>
      </c>
      <c r="E21" s="17">
        <f>IFERROR(MIN(E3:E17),"")</f>
        <v>73.81</v>
      </c>
    </row>
    <row r="22" spans="1:5" ht="19.5" customHeight="1" x14ac:dyDescent="0.25">
      <c r="A22" s="16" t="s">
        <v>50</v>
      </c>
      <c r="B22" s="18">
        <f>IFERROR(COUNTIF(B3:B17,"&gt;="&amp;80)/COUNTA(B3:B17),"")</f>
        <v>0.93333333333333335</v>
      </c>
      <c r="C22" s="18">
        <f>IFERROR(COUNTIF(C3:C17,"&gt;="&amp;80)/COUNTA(C3:C17),"")</f>
        <v>0.93333333333333335</v>
      </c>
      <c r="D22" s="18">
        <f>IFERROR(COUNTIF(D3:D17,"&gt;="&amp;80)/COUNTA(D3:D17),"")</f>
        <v>0.73333333333333328</v>
      </c>
      <c r="E22" s="18">
        <f>IFERROR(COUNTIF(E3:E17,"&gt;="&amp;80)/COUNTA(E3:E17),"")</f>
        <v>0.8666666666666667</v>
      </c>
    </row>
    <row r="23" spans="1:5" ht="19.5" customHeight="1" x14ac:dyDescent="0.25">
      <c r="A23" s="16" t="s">
        <v>51</v>
      </c>
      <c r="B23" s="19" t="s">
        <v>52</v>
      </c>
      <c r="C23" s="19" t="s">
        <v>52</v>
      </c>
      <c r="D23" s="19" t="s">
        <v>52</v>
      </c>
      <c r="E23" s="18">
        <f>IFERROR(SUMPRODUCT((B3:B17&gt;= 80)*(C3:C17&gt;=80)*(D3:D17&gt;=80))/COUNTA(A3:A17),"")</f>
        <v>0.73333333333333328</v>
      </c>
    </row>
    <row r="25" spans="1:5" ht="15" customHeight="1" x14ac:dyDescent="0.25">
      <c r="A25" s="2" t="s">
        <v>53</v>
      </c>
      <c r="B25" s="2"/>
      <c r="C25" s="2"/>
      <c r="D25" s="2"/>
      <c r="E25" s="2"/>
    </row>
    <row r="26" spans="1:5" ht="39.75" customHeight="1" x14ac:dyDescent="0.25">
      <c r="A26" s="1" t="s">
        <v>54</v>
      </c>
      <c r="B26" s="1"/>
      <c r="C26" s="1"/>
      <c r="D26" s="1"/>
      <c r="E26" s="1"/>
    </row>
  </sheetData>
  <mergeCells count="4">
    <mergeCell ref="A1:E1"/>
    <mergeCell ref="A19:E19"/>
    <mergeCell ref="A25:E25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tabSelected="1" zoomScaleNormal="100" workbookViewId="0">
      <selection activeCell="D28" sqref="D28"/>
    </sheetView>
  </sheetViews>
  <sheetFormatPr defaultColWidth="8.7109375" defaultRowHeight="15" x14ac:dyDescent="0.25"/>
  <cols>
    <col min="1" max="1" width="18" customWidth="1"/>
    <col min="2" max="3" width="20" customWidth="1"/>
    <col min="4" max="4" width="26" customWidth="1"/>
    <col min="5" max="5" width="18" customWidth="1"/>
  </cols>
  <sheetData>
    <row r="1" spans="1:5" ht="27.75" customHeight="1" x14ac:dyDescent="0.25">
      <c r="A1" s="4" t="s">
        <v>56</v>
      </c>
      <c r="B1" s="4"/>
      <c r="C1" s="4"/>
      <c r="D1" s="4"/>
      <c r="E1" s="4"/>
    </row>
    <row r="2" spans="1:5" ht="21.75" customHeight="1" x14ac:dyDescent="0.25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</row>
    <row r="3" spans="1:5" ht="15" customHeight="1" x14ac:dyDescent="0.25">
      <c r="A3" s="10" t="s">
        <v>31</v>
      </c>
      <c r="B3" s="11">
        <v>84</v>
      </c>
      <c r="C3" s="11">
        <v>96.67</v>
      </c>
      <c r="D3" s="11">
        <v>92.5</v>
      </c>
      <c r="E3" s="12">
        <f t="shared" ref="E3:E15" si="0">IFERROR(AVERAGE(B3:D3),"")</f>
        <v>91.056666666666672</v>
      </c>
    </row>
    <row r="4" spans="1:5" ht="15" customHeight="1" x14ac:dyDescent="0.25">
      <c r="A4" s="13" t="s">
        <v>32</v>
      </c>
      <c r="B4" s="14">
        <v>92.4</v>
      </c>
      <c r="C4" s="14">
        <v>87.78</v>
      </c>
      <c r="D4" s="14">
        <v>80</v>
      </c>
      <c r="E4" s="15">
        <f t="shared" si="0"/>
        <v>86.726666666666674</v>
      </c>
    </row>
    <row r="5" spans="1:5" ht="15" customHeight="1" x14ac:dyDescent="0.25">
      <c r="A5" s="10" t="s">
        <v>33</v>
      </c>
      <c r="B5" s="11">
        <v>88.2</v>
      </c>
      <c r="C5" s="11">
        <v>94.44</v>
      </c>
      <c r="D5" s="11">
        <v>95</v>
      </c>
      <c r="E5" s="12">
        <f t="shared" si="0"/>
        <v>92.546666666666667</v>
      </c>
    </row>
    <row r="6" spans="1:5" ht="15" customHeight="1" x14ac:dyDescent="0.25">
      <c r="A6" s="13" t="s">
        <v>34</v>
      </c>
      <c r="B6" s="14">
        <v>90.72</v>
      </c>
      <c r="C6" s="14">
        <v>92.22</v>
      </c>
      <c r="D6" s="14">
        <v>78</v>
      </c>
      <c r="E6" s="15">
        <f t="shared" si="0"/>
        <v>86.98</v>
      </c>
    </row>
    <row r="7" spans="1:5" ht="15" customHeight="1" x14ac:dyDescent="0.25">
      <c r="A7" s="10" t="s">
        <v>35</v>
      </c>
      <c r="B7" s="11">
        <v>90.72</v>
      </c>
      <c r="C7" s="11">
        <v>88.89</v>
      </c>
      <c r="D7" s="11">
        <v>83</v>
      </c>
      <c r="E7" s="12">
        <f t="shared" si="0"/>
        <v>87.536666666666676</v>
      </c>
    </row>
    <row r="8" spans="1:5" ht="15" customHeight="1" x14ac:dyDescent="0.25">
      <c r="A8" s="13" t="s">
        <v>36</v>
      </c>
      <c r="B8" s="14">
        <v>86.52</v>
      </c>
      <c r="C8" s="14">
        <v>85</v>
      </c>
      <c r="D8" s="14">
        <v>84</v>
      </c>
      <c r="E8" s="15">
        <f t="shared" si="0"/>
        <v>85.173333333333332</v>
      </c>
    </row>
    <row r="9" spans="1:5" ht="15" customHeight="1" x14ac:dyDescent="0.25">
      <c r="A9" s="10" t="s">
        <v>37</v>
      </c>
      <c r="B9" s="11">
        <v>86.52</v>
      </c>
      <c r="C9" s="11">
        <v>86.67</v>
      </c>
      <c r="D9" s="11">
        <v>83</v>
      </c>
      <c r="E9" s="12">
        <f t="shared" si="0"/>
        <v>85.396666666666661</v>
      </c>
    </row>
    <row r="10" spans="1:5" ht="15" customHeight="1" x14ac:dyDescent="0.25">
      <c r="A10" s="13" t="s">
        <v>38</v>
      </c>
      <c r="B10" s="14">
        <v>84.84</v>
      </c>
      <c r="C10" s="14">
        <v>88.89</v>
      </c>
      <c r="D10" s="14">
        <v>80</v>
      </c>
      <c r="E10" s="15">
        <f t="shared" si="0"/>
        <v>84.576666666666668</v>
      </c>
    </row>
    <row r="11" spans="1:5" ht="15" customHeight="1" x14ac:dyDescent="0.25">
      <c r="A11" s="10" t="s">
        <v>39</v>
      </c>
      <c r="B11" s="11">
        <v>94.08</v>
      </c>
      <c r="C11" s="11">
        <v>95.56</v>
      </c>
      <c r="D11" s="11">
        <v>91</v>
      </c>
      <c r="E11" s="12">
        <f t="shared" si="0"/>
        <v>93.546666666666667</v>
      </c>
    </row>
    <row r="12" spans="1:5" ht="15" customHeight="1" x14ac:dyDescent="0.25">
      <c r="A12" s="13" t="s">
        <v>40</v>
      </c>
      <c r="B12" s="14">
        <v>90.72</v>
      </c>
      <c r="C12" s="14">
        <v>85.56</v>
      </c>
      <c r="D12" s="14">
        <v>86</v>
      </c>
      <c r="E12" s="15">
        <f t="shared" si="0"/>
        <v>87.426666666666662</v>
      </c>
    </row>
    <row r="13" spans="1:5" ht="15" customHeight="1" x14ac:dyDescent="0.25">
      <c r="A13" s="10" t="s">
        <v>41</v>
      </c>
      <c r="B13" s="11">
        <v>89.04</v>
      </c>
      <c r="C13" s="11">
        <v>90</v>
      </c>
      <c r="D13" s="11">
        <v>79</v>
      </c>
      <c r="E13" s="12">
        <f t="shared" si="0"/>
        <v>86.013333333333335</v>
      </c>
    </row>
    <row r="14" spans="1:5" ht="15" customHeight="1" x14ac:dyDescent="0.25">
      <c r="A14" s="13" t="s">
        <v>42</v>
      </c>
      <c r="B14" s="14">
        <v>96.6</v>
      </c>
      <c r="C14" s="14">
        <v>97.78</v>
      </c>
      <c r="D14" s="14">
        <v>97</v>
      </c>
      <c r="E14" s="15">
        <f t="shared" si="0"/>
        <v>97.126666666666665</v>
      </c>
    </row>
    <row r="15" spans="1:5" ht="15" customHeight="1" x14ac:dyDescent="0.25">
      <c r="A15" s="10" t="s">
        <v>43</v>
      </c>
      <c r="B15" s="11">
        <v>94.92</v>
      </c>
      <c r="C15" s="11">
        <v>85.56</v>
      </c>
      <c r="D15" s="11">
        <v>95</v>
      </c>
      <c r="E15" s="12">
        <f t="shared" si="0"/>
        <v>91.826666666666668</v>
      </c>
    </row>
    <row r="17" spans="1:5" ht="19.5" customHeight="1" x14ac:dyDescent="0.25">
      <c r="A17" s="3" t="s">
        <v>47</v>
      </c>
      <c r="B17" s="3"/>
      <c r="C17" s="3"/>
      <c r="D17" s="3"/>
      <c r="E17" s="3"/>
    </row>
    <row r="18" spans="1:5" ht="19.5" customHeight="1" x14ac:dyDescent="0.25">
      <c r="A18" s="16" t="s">
        <v>48</v>
      </c>
      <c r="B18" s="17">
        <f>IFERROR(AVERAGE(B3:B15),"")</f>
        <v>89.944615384615403</v>
      </c>
      <c r="C18" s="17">
        <f>IFERROR(AVERAGE(C3:C15),"")</f>
        <v>90.386153846153832</v>
      </c>
      <c r="D18" s="17">
        <f>IFERROR(AVERAGE(D3:D15),"")</f>
        <v>86.42307692307692</v>
      </c>
      <c r="E18" s="17">
        <f>IFERROR(AVERAGE(E3:E15),"")</f>
        <v>88.917948717948704</v>
      </c>
    </row>
    <row r="19" spans="1:5" ht="19.5" customHeight="1" x14ac:dyDescent="0.25">
      <c r="A19" s="16" t="s">
        <v>49</v>
      </c>
      <c r="B19" s="17">
        <f>IFERROR(MIN(B3:B15),"")</f>
        <v>84</v>
      </c>
      <c r="C19" s="17">
        <f>IFERROR(MIN(C3:C15),"")</f>
        <v>85</v>
      </c>
      <c r="D19" s="17">
        <f>IFERROR(MIN(D3:D15),"")</f>
        <v>78</v>
      </c>
      <c r="E19" s="17">
        <f>IFERROR(MIN(E3:E15),"")</f>
        <v>84.576666666666668</v>
      </c>
    </row>
    <row r="20" spans="1:5" ht="19.5" customHeight="1" x14ac:dyDescent="0.25">
      <c r="A20" s="16" t="s">
        <v>50</v>
      </c>
      <c r="B20" s="18">
        <f>IFERROR(COUNTIF(B3:B15,"&gt;="&amp;80)/COUNTA(B3:B15),"")</f>
        <v>1</v>
      </c>
      <c r="C20" s="18">
        <f>IFERROR(COUNTIF(C3:C15,"&gt;="&amp;80)/COUNTA(C3:C15),"")</f>
        <v>1</v>
      </c>
      <c r="D20" s="18">
        <f>IFERROR(COUNTIF(D3:D15,"&gt;="&amp;80)/COUNTA(D3:D15),"")</f>
        <v>0.84615384615384615</v>
      </c>
      <c r="E20" s="18">
        <f>IFERROR(COUNTIF(E3:E15,"&gt;="&amp;80)/COUNTA(E3:E15),"")</f>
        <v>1</v>
      </c>
    </row>
    <row r="21" spans="1:5" ht="19.5" customHeight="1" x14ac:dyDescent="0.25">
      <c r="A21" s="16" t="s">
        <v>51</v>
      </c>
      <c r="B21" s="19" t="s">
        <v>52</v>
      </c>
      <c r="C21" s="19" t="s">
        <v>52</v>
      </c>
      <c r="D21" s="19" t="s">
        <v>52</v>
      </c>
      <c r="E21" s="18">
        <f>IFERROR(SUMPRODUCT((B3:B15&gt;= 80)*(C3:C15&gt;=80)*(D3:D15&gt;=80))/COUNTA(A3:A15),"")</f>
        <v>0.84615384615384615</v>
      </c>
    </row>
    <row r="23" spans="1:5" ht="15" customHeight="1" x14ac:dyDescent="0.25">
      <c r="A23" s="2" t="s">
        <v>53</v>
      </c>
      <c r="B23" s="2"/>
      <c r="C23" s="2"/>
      <c r="D23" s="2"/>
      <c r="E23" s="2"/>
    </row>
    <row r="24" spans="1:5" ht="39.75" customHeight="1" x14ac:dyDescent="0.25">
      <c r="A24" s="1" t="s">
        <v>54</v>
      </c>
      <c r="B24" s="1"/>
      <c r="C24" s="1"/>
      <c r="D24" s="1"/>
      <c r="E24" s="1"/>
    </row>
  </sheetData>
  <mergeCells count="4">
    <mergeCell ref="A1:E1"/>
    <mergeCell ref="A17:E17"/>
    <mergeCell ref="A23:E23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Wendy Heimann</cp:lastModifiedBy>
  <cp:revision>0</cp:revision>
  <dcterms:created xsi:type="dcterms:W3CDTF">2026-05-28T19:40:08Z</dcterms:created>
  <dcterms:modified xsi:type="dcterms:W3CDTF">2026-05-28T19:58:41Z</dcterms:modified>
  <dc:language>en-US</dc:language>
</cp:coreProperties>
</file>